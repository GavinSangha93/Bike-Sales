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avinci23\Documents\Project Portfolio\"/>
    </mc:Choice>
  </mc:AlternateContent>
  <xr:revisionPtr revIDLastSave="0" documentId="13_ncr:1_{574D4512-13A9-4AD8-8F6A-BE0011F2C1D3}" xr6:coauthVersionLast="47" xr6:coauthVersionMax="47" xr10:uidLastSave="{00000000-0000-0000-0000-000000000000}"/>
  <bookViews>
    <workbookView xWindow="-120" yWindow="-120" windowWidth="29040" windowHeight="158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<sst xmlns="http://schemas.openxmlformats.org/spreadsheetml/2006/main" count="16272" uniqueCount="52">
  <si>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</si>
  <si>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</si>
  <si>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</si>
  <si>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</si>
  <si>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</si>
  <si>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</si>
  <si>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</si>
  <si>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</si>
  <si>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</si>
  <si>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</si>
  <si>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</si>
  <si>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</si>
  <si>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</si>
  <si>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</si>
  <si>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</si>
  <si>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</si>
  <si>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</si>
  <si>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</si>
  <si>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</si>
  <si>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</si>
  <si>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</si>
  <si>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</si>
  <si>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</si>
  <si>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</si>
  <si>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</si>
  <si>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</si>
  <si>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</si>
  <si>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</si>
  <si>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</si>
  <si>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</si>
  <si>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</si>
  <si>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</si>
  <si>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</si>
  <si>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</si>
  <si>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</si>
  <si>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</si>
  <si>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</si>
  <si>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</si>
  <si>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</si>
  <si>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</si>
  <si>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</si>
  <si>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</si>
  <si>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</si>
  <si>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</si>
  <si>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</si>
  <si>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10 Miles +</t>
  </si>
  <si>
    <t>Middle Age</t>
  </si>
  <si>
    <t>Old</t>
  </si>
  <si>
    <t>Bike Sales Dashboard</t>
  </si>
  <si>
    <t>Bike Purchases By Commute</t>
  </si>
  <si>
    <t>Bikes Purchased by Age Brackets</t>
  </si>
  <si>
    <t>Purchased Bikes By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</si>
</sst>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Visualization.xlsx]Pivot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66666.666666666672</c:v>
                </c:pt>
                <c:pt idx="1">
                  <c:v>22500</c:v>
                </c:pt>
              </c:numCache>
            </c:numRef>
          </c:val>
          <c:extLst>
            <c:ext xmlns:c16="http://schemas.microsoft.com/office/drawing/2014/chart" uri="{C3380CC4-5D6E-409C-BE32-E72D297353CC}">
              <c16:uniqueId val="{00000000-3AB5-453E-A03A-6DE2AC853F7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35000</c:v>
                </c:pt>
                <c:pt idx="1">
                  <c:v>33333.333333333336</c:v>
                </c:pt>
              </c:numCache>
            </c:numRef>
          </c:val>
          <c:extLst>
            <c:ext xmlns:c16="http://schemas.microsoft.com/office/drawing/2014/chart" uri="{C3380CC4-5D6E-409C-BE32-E72D297353CC}">
              <c16:uniqueId val="{00000001-3AB5-453E-A03A-6DE2AC853F75}"/>
            </c:ext>
          </c:extLst>
        </c:ser>
        <c:dLbls>
          <c:showLegendKey val="0"/>
          <c:showVal val="0"/>
          <c:showCatName val="0"/>
          <c:showSerName val="0"/>
          <c:showPercent val="0"/>
          <c:showBubbleSize val="0"/>
        </c:dLbls>
        <c:gapWidth val="219"/>
        <c:overlap val="-27"/>
        <c:axId val="1064312224"/>
        <c:axId val="1064312704"/>
      </c:barChart>
      <c:catAx>
        <c:axId val="1064312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96817266773692"/>
              <c:y val="0.798726769892018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12704"/>
        <c:crosses val="autoZero"/>
        <c:auto val="1"/>
        <c:lblAlgn val="ctr"/>
        <c:lblOffset val="100"/>
        <c:noMultiLvlLbl val="0"/>
      </c:catAx>
      <c:valAx>
        <c:axId val="106431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1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Visualization.xlsx]Pivot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10 Miles +</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4A68-43D9-B577-1C0A42E28CD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10 Miles +</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4A68-43D9-B577-1C0A42E28CDD}"/>
            </c:ext>
          </c:extLst>
        </c:ser>
        <c:dLbls>
          <c:showLegendKey val="0"/>
          <c:showVal val="0"/>
          <c:showCatName val="0"/>
          <c:showSerName val="0"/>
          <c:showPercent val="0"/>
          <c:showBubbleSize val="0"/>
        </c:dLbls>
        <c:smooth val="0"/>
        <c:axId val="1063170880"/>
        <c:axId val="1063170400"/>
      </c:lineChart>
      <c:catAx>
        <c:axId val="106317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70400"/>
        <c:crosses val="autoZero"/>
        <c:auto val="1"/>
        <c:lblAlgn val="ctr"/>
        <c:lblOffset val="100"/>
        <c:noMultiLvlLbl val="0"/>
      </c:catAx>
      <c:valAx>
        <c:axId val="106317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Visualization.xlsx]Pivot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c:v>
                </c:pt>
                <c:pt idx="1">
                  <c:v>Old</c:v>
                </c:pt>
              </c:strCache>
            </c:strRef>
          </c:cat>
          <c:val>
            <c:numRef>
              <c:f>'Pivot Table'!$B$44:$B$46</c:f>
              <c:numCache>
                <c:formatCode>General</c:formatCode>
                <c:ptCount val="2"/>
                <c:pt idx="0">
                  <c:v>4</c:v>
                </c:pt>
                <c:pt idx="1">
                  <c:v>3</c:v>
                </c:pt>
              </c:numCache>
            </c:numRef>
          </c:val>
          <c:smooth val="0"/>
          <c:extLst>
            <c:ext xmlns:c16="http://schemas.microsoft.com/office/drawing/2014/chart" uri="{C3380CC4-5D6E-409C-BE32-E72D297353CC}">
              <c16:uniqueId val="{00000000-CCB9-45E4-938B-95788D6BB10D}"/>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c:v>
                </c:pt>
                <c:pt idx="1">
                  <c:v>Old</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CCB9-45E4-938B-95788D6BB10D}"/>
            </c:ext>
          </c:extLst>
        </c:ser>
        <c:dLbls>
          <c:showLegendKey val="0"/>
          <c:showVal val="0"/>
          <c:showCatName val="0"/>
          <c:showSerName val="0"/>
          <c:showPercent val="0"/>
          <c:showBubbleSize val="0"/>
        </c:dLbls>
        <c:marker val="1"/>
        <c:smooth val="0"/>
        <c:axId val="1224857648"/>
        <c:axId val="1224855728"/>
      </c:lineChart>
      <c:catAx>
        <c:axId val="122485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513737970253718"/>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55728"/>
        <c:crosses val="autoZero"/>
        <c:auto val="1"/>
        <c:lblAlgn val="ctr"/>
        <c:lblOffset val="100"/>
        <c:noMultiLvlLbl val="0"/>
      </c:catAx>
      <c:valAx>
        <c:axId val="122485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5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Visualization.xlsx]Pivot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10 Miles +</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8C8-4513-B76A-EA095D68D8C5}"/>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10 Miles +</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68C8-4513-B76A-EA095D68D8C5}"/>
            </c:ext>
          </c:extLst>
        </c:ser>
        <c:dLbls>
          <c:showLegendKey val="0"/>
          <c:showVal val="0"/>
          <c:showCatName val="0"/>
          <c:showSerName val="0"/>
          <c:showPercent val="0"/>
          <c:showBubbleSize val="0"/>
        </c:dLbls>
        <c:marker val="1"/>
        <c:smooth val="0"/>
        <c:axId val="1063170880"/>
        <c:axId val="1063170400"/>
      </c:lineChart>
      <c:catAx>
        <c:axId val="1063170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3170400"/>
        <c:crosses val="autoZero"/>
        <c:auto val="1"/>
        <c:lblAlgn val="ctr"/>
        <c:lblOffset val="100"/>
        <c:noMultiLvlLbl val="0"/>
      </c:catAx>
      <c:valAx>
        <c:axId val="1063170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31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Visualization.xlsx]Pivot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66666.666666666672</c:v>
                </c:pt>
                <c:pt idx="1">
                  <c:v>22500</c:v>
                </c:pt>
              </c:numCache>
            </c:numRef>
          </c:val>
          <c:extLst>
            <c:ext xmlns:c16="http://schemas.microsoft.com/office/drawing/2014/chart" uri="{C3380CC4-5D6E-409C-BE32-E72D297353CC}">
              <c16:uniqueId val="{00000000-941F-45B7-96B8-A5B8F203B91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35000</c:v>
                </c:pt>
                <c:pt idx="1">
                  <c:v>33333.333333333336</c:v>
                </c:pt>
              </c:numCache>
            </c:numRef>
          </c:val>
          <c:extLst>
            <c:ext xmlns:c16="http://schemas.microsoft.com/office/drawing/2014/chart" uri="{C3380CC4-5D6E-409C-BE32-E72D297353CC}">
              <c16:uniqueId val="{00000001-941F-45B7-96B8-A5B8F203B913}"/>
            </c:ext>
          </c:extLst>
        </c:ser>
        <c:dLbls>
          <c:showLegendKey val="0"/>
          <c:showVal val="0"/>
          <c:showCatName val="0"/>
          <c:showSerName val="0"/>
          <c:showPercent val="0"/>
          <c:showBubbleSize val="0"/>
        </c:dLbls>
        <c:gapWidth val="219"/>
        <c:overlap val="-27"/>
        <c:axId val="1064312224"/>
        <c:axId val="1064312704"/>
      </c:barChart>
      <c:catAx>
        <c:axId val="1064312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96817266773692"/>
              <c:y val="0.798726769892018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12704"/>
        <c:crosses val="autoZero"/>
        <c:auto val="1"/>
        <c:lblAlgn val="ctr"/>
        <c:lblOffset val="100"/>
        <c:noMultiLvlLbl val="0"/>
      </c:catAx>
      <c:valAx>
        <c:axId val="106431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1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Visualization.xlsx]Pivot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c:v>
                </c:pt>
                <c:pt idx="1">
                  <c:v>Old</c:v>
                </c:pt>
              </c:strCache>
            </c:strRef>
          </c:cat>
          <c:val>
            <c:numRef>
              <c:f>'Pivot Table'!$B$44:$B$46</c:f>
              <c:numCache>
                <c:formatCode>General</c:formatCode>
                <c:ptCount val="2"/>
                <c:pt idx="0">
                  <c:v>4</c:v>
                </c:pt>
                <c:pt idx="1">
                  <c:v>3</c:v>
                </c:pt>
              </c:numCache>
            </c:numRef>
          </c:val>
          <c:smooth val="0"/>
          <c:extLst>
            <c:ext xmlns:c16="http://schemas.microsoft.com/office/drawing/2014/chart" uri="{C3380CC4-5D6E-409C-BE32-E72D297353CC}">
              <c16:uniqueId val="{00000000-87C5-44BE-9B07-72DA7364DC25}"/>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c:v>
                </c:pt>
                <c:pt idx="1">
                  <c:v>Old</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87C5-44BE-9B07-72DA7364DC25}"/>
            </c:ext>
          </c:extLst>
        </c:ser>
        <c:dLbls>
          <c:showLegendKey val="0"/>
          <c:showVal val="0"/>
          <c:showCatName val="0"/>
          <c:showSerName val="0"/>
          <c:showPercent val="0"/>
          <c:showBubbleSize val="0"/>
        </c:dLbls>
        <c:marker val="1"/>
        <c:smooth val="0"/>
        <c:axId val="1224857648"/>
        <c:axId val="1224855728"/>
      </c:lineChart>
      <c:catAx>
        <c:axId val="122485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513737970253718"/>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55728"/>
        <c:crosses val="autoZero"/>
        <c:auto val="1"/>
        <c:lblAlgn val="ctr"/>
        <c:lblOffset val="100"/>
        <c:noMultiLvlLbl val="0"/>
      </c:catAx>
      <c:valAx>
        <c:axId val="122485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5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9524</xdr:colOff>
      <xdr:row>1</xdr:row>
      <xdr:rowOff>9525</xdr:rowOff>
    </xdr:from>
    <xdr:to>
      <xdr:col>13</xdr:col>
      <xdr:colOff>38099</xdr:colOff>
      <xdr:row>15</xdr:row>
      <xdr:rowOff>180975</xdr:rowOff>
    </xdr:to>
    <xdr:graphicFrame macro="">
      <xdr:nvGraphicFramePr>
        <xdr:cNvPr id="2" name="Chart 1">
          <a:extLst>
            <a:ext uri="{FF2B5EF4-FFF2-40B4-BE49-F238E27FC236}">
              <a16:creationId xmlns:a16="http://schemas.microsoft.com/office/drawing/2014/main" id="{E7AB078F-1D95-15A5-F197-C09274D8F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1333500</xdr:colOff>
      <xdr:row>18</xdr:row>
      <xdr:rowOff>161925</xdr:rowOff>
    </xdr:from>
    <xdr:to>
      <xdr:col>11</xdr:col>
      <xdr:colOff>247650</xdr:colOff>
      <xdr:row>34</xdr:row>
      <xdr:rowOff>114300</xdr:rowOff>
    </xdr:to>
    <xdr:graphicFrame macro="">
      <xdr:nvGraphicFramePr>
        <xdr:cNvPr id="3" name="Chart 2">
          <a:extLst>
            <a:ext uri="{FF2B5EF4-FFF2-40B4-BE49-F238E27FC236}">
              <a16:creationId xmlns:a16="http://schemas.microsoft.com/office/drawing/2014/main" id="{3EEB94FB-2F76-2B6B-58F4-08749EF51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990600</xdr:colOff>
      <xdr:row>39</xdr:row>
      <xdr:rowOff>157162</xdr:rowOff>
    </xdr:from>
    <xdr:to>
      <xdr:col>10</xdr:col>
      <xdr:colOff>200025</xdr:colOff>
      <xdr:row>54</xdr:row>
      <xdr:rowOff>42862</xdr:rowOff>
    </xdr:to>
    <xdr:graphicFrame macro="">
      <xdr:nvGraphicFramePr>
        <xdr:cNvPr id="4" name="Chart 3">
          <a:extLst>
            <a:ext uri="{FF2B5EF4-FFF2-40B4-BE49-F238E27FC236}">
              <a16:creationId xmlns:a16="http://schemas.microsoft.com/office/drawing/2014/main" id="{2CB86810-0DC2-FB06-249C-15DD6A741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19</xdr:row>
      <xdr:rowOff>104775</xdr:rowOff>
    </xdr:from>
    <xdr:to>
      <xdr:col>15</xdr:col>
      <xdr:colOff>47624</xdr:colOff>
      <xdr:row>34</xdr:row>
      <xdr:rowOff>171450</xdr:rowOff>
    </xdr:to>
    <xdr:graphicFrame macro="">
      <xdr:nvGraphicFramePr>
        <xdr:cNvPr id="3" name="Chart 2">
          <a:extLst>
            <a:ext uri="{FF2B5EF4-FFF2-40B4-BE49-F238E27FC236}">
              <a16:creationId xmlns:a16="http://schemas.microsoft.com/office/drawing/2014/main" id="{AA6776D3-64F1-424B-82FF-966DBB4F4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6</xdr:row>
      <xdr:rowOff>28574</xdr:rowOff>
    </xdr:from>
    <xdr:to>
      <xdr:col>7</xdr:col>
      <xdr:colOff>523876</xdr:colOff>
      <xdr:row>19</xdr:row>
      <xdr:rowOff>57149</xdr:rowOff>
    </xdr:to>
    <xdr:graphicFrame macro="">
      <xdr:nvGraphicFramePr>
        <xdr:cNvPr id="5" name="Chart 4">
          <a:extLst>
            <a:ext uri="{FF2B5EF4-FFF2-40B4-BE49-F238E27FC236}">
              <a16:creationId xmlns:a16="http://schemas.microsoft.com/office/drawing/2014/main" id="{4D106E1E-C9F6-05FF-9355-2EC527771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533400</xdr:colOff>
      <xdr:row>5</xdr:row>
      <xdr:rowOff>190499</xdr:rowOff>
    </xdr:from>
    <xdr:to>
      <xdr:col>14</xdr:col>
      <xdr:colOff>590550</xdr:colOff>
      <xdr:row>19</xdr:row>
      <xdr:rowOff>66674</xdr:rowOff>
    </xdr:to>
    <xdr:graphicFrame macro="">
      <xdr:nvGraphicFramePr>
        <xdr:cNvPr id="6" name="Chart 5">
          <a:extLst>
            <a:ext uri="{FF2B5EF4-FFF2-40B4-BE49-F238E27FC236}">
              <a16:creationId xmlns:a16="http://schemas.microsoft.com/office/drawing/2014/main" id="{89A37183-1AD1-5E22-7AC0-D0394C55A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6</xdr:row>
      <xdr:rowOff>1</xdr:rowOff>
    </xdr:from>
    <xdr:to>
      <xdr:col>2</xdr:col>
      <xdr:colOff>123825</xdr:colOff>
      <xdr:row>11</xdr:row>
      <xdr:rowOff>19051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85FDAA2D-C1CF-A644-A3AA-AF8A629F62B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50" y="1143001"/>
              <a:ext cx="1323975"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180976</xdr:rowOff>
    </xdr:from>
    <xdr:to>
      <xdr:col>2</xdr:col>
      <xdr:colOff>133350</xdr:colOff>
      <xdr:row>25</xdr:row>
      <xdr:rowOff>180976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DBD84E79-6B9F-47BE-FF21-60FD30E37F6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28976"/>
              <a:ext cx="13525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171451</xdr:rowOff>
    </xdr:from>
    <xdr:to>
      <xdr:col>2</xdr:col>
      <xdr:colOff>123825</xdr:colOff>
      <xdr:row>16</xdr:row>
      <xdr:rowOff>171451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B7CFCEF-A208-98E9-FEC7-6B21311786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76451"/>
              <a:ext cx="134302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vinci23" refreshedDate="46112.640318055557" createdVersion="8" refreshedVersion="8" minRefreshableVersion="3" recordCount="1000" xr:uid="{B34637C8-21D9-4719-8072-FF79F11C654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75929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EB19F8-4638-4791-835F-1119CD8A53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0">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47AAE0-E37F-4292-AF6A-8D5BB406B1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7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Purchased Bikes By Ag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B1E24E-4427-4998-A3E2-5B9FED069D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D46"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Bikes Purchased by Age Brackets"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36358A-4B01-45EC-B779-FAFA7ACDC4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6"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Bike Purchases By Commut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4BE8356-2763-4579-A3A0-CDE8CEBCA1CC}" sourceName="Marital Status">
  <pivotTables>
    <pivotTable tabId="3" name="PivotTable1"/>
    <pivotTable tabId="3" name="PivotTable2"/>
    <pivotTable tabId="3" name="PivotTable3"/>
    <pivotTable tabId="3" name="PivotTable4"/>
  </pivotTables>
  <data>
    <tabular pivotCacheId="167592996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859EDF-93FF-4686-B9D9-F81AB9FE3D02}" sourceName="Education">
  <pivotTables>
    <pivotTable tabId="3" name="PivotTable1"/>
    <pivotTable tabId="3" name="PivotTable2"/>
    <pivotTable tabId="3" name="PivotTable3"/>
    <pivotTable tabId="3" name="PivotTable4"/>
  </pivotTables>
  <data>
    <tabular pivotCacheId="167592996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06B755-43F6-43EB-A784-811E330F8D9E}" sourceName="Region">
  <pivotTables>
    <pivotTable tabId="3" name="PivotTable1"/>
    <pivotTable tabId="3" name="PivotTable2"/>
    <pivotTable tabId="3" name="PivotTable3"/>
    <pivotTable tabId="3" name="PivotTable4"/>
  </pivotTables>
  <data>
    <tabular pivotCacheId="167592996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75AA18C-7946-44E2-A540-87989B358B2E}" cache="Slicer_Marital_Status" caption="Marital Status" rowHeight="241300"/>
  <slicer name="Education" xr10:uid="{5840BF9C-BF46-4353-B577-77A95599B976}" cache="Slicer_Education" caption="Education" rowHeight="241300"/>
  <slicer name="Region" xr10:uid="{EFC931B3-0B97-4E27-A01B-02C034BBE82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 sqref="B2"/>
    </sheetView>
  </sheetViews>
  <sheetFormatPr defaultColWidth="11.85546875" defaultRowHeight="15" x14ac:dyDescent="0.25"/>
  <cols>
    <col min="2" max="2" width="17.140625" customWidth="1"/>
    <col min="3" max="3" width="13.71093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4577-6A89-41C5-A36D-1F9AD52E1BC1}">
  <dimension ref="A1:N1001"/>
  <sheetViews>
    <sheetView workbookViewId="0">
      <selection activeCell="M2" sqref="M2"/>
    </sheetView>
  </sheetViews>
  <sheetFormatPr defaultColWidth="11.85546875" defaultRowHeight="15" x14ac:dyDescent="0.25"/>
  <cols>
    <col min="1" max="1" width="14.85546875" customWidth="1"/>
    <col min="2" max="2" width="21.7109375" customWidth="1"/>
    <col min="3" max="3" width="9.28515625" customWidth="1"/>
    <col min="4" max="4" width="16.42578125" customWidth="1"/>
    <col min="5" max="5" width="13"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3" width="14.85546875" customWidth="1"/>
    <col min="14" max="14" width="19"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 "Old", IF(L2&gt;=31, "Middle Age", IF(L2&lt;31, "Adolescent", "Invalid")))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45</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45</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45</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45</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45</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45</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45</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45</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45</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45</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45</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45</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45</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45</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45</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45</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45</v>
      </c>
      <c r="K195" t="s">
        <v>24</v>
      </c>
      <c r="L195">
        <v>41</v>
      </c>
      <c r="M195" t="str">
        <f t="shared" ref="M195:M258" si="3">IF(L195&gt;54, "Old", IF(L195&gt;=31, "Middle Age", IF(L195&lt;31, "Adolescent", "Invalid")))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45</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45</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45</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45</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45</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45</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45</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45</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45</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45</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25">
      <c r="A260">
        <v>14193</v>
      </c>
      <c r="B260" t="s">
        <v>37</v>
      </c>
      <c r="C260" t="s">
        <v>39</v>
      </c>
      <c r="D260" s="1">
        <v>100000</v>
      </c>
      <c r="E260">
        <v>3</v>
      </c>
      <c r="F260" t="s">
        <v>19</v>
      </c>
      <c r="G260" t="s">
        <v>28</v>
      </c>
      <c r="H260" t="s">
        <v>15</v>
      </c>
      <c r="I260">
        <v>4</v>
      </c>
      <c r="J260" t="s">
        <v>45</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45</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45</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45</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45</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45</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45</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45</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45</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45</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45</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45</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25">
      <c r="A388">
        <v>28957</v>
      </c>
      <c r="B388" t="s">
        <v>37</v>
      </c>
      <c r="C388" t="s">
        <v>39</v>
      </c>
      <c r="D388" s="1">
        <v>120000</v>
      </c>
      <c r="E388">
        <v>0</v>
      </c>
      <c r="F388" t="s">
        <v>29</v>
      </c>
      <c r="G388" t="s">
        <v>21</v>
      </c>
      <c r="H388" t="s">
        <v>15</v>
      </c>
      <c r="I388">
        <v>4</v>
      </c>
      <c r="J388" t="s">
        <v>45</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45</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45</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45</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45</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45</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45</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45</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45</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45</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45</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45</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45</v>
      </c>
      <c r="K515" t="s">
        <v>32</v>
      </c>
      <c r="L515">
        <v>61</v>
      </c>
      <c r="M515" t="str">
        <f t="shared" ref="M515:M578" si="8">IF(L515&gt;54, "Old", IF(L515&gt;=31, "Middle Age", IF(L515&lt;31, "Adolescent", "Invalid")))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45</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45</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45</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45</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45</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45</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45</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45</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45</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45</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45</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45</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45</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45</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45</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45</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45</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45</v>
      </c>
      <c r="K643" t="s">
        <v>32</v>
      </c>
      <c r="L643">
        <v>64</v>
      </c>
      <c r="M643" t="str">
        <f t="shared" ref="M643:M706" si="10">IF(L643&gt;54, "Old", IF(L643&gt;=31, "Middle Age", IF(L643&lt;31, "Adolescent", "Invalid")))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45</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45</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45</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45</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45</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45</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45</v>
      </c>
      <c r="K707" t="s">
        <v>32</v>
      </c>
      <c r="L707">
        <v>59</v>
      </c>
      <c r="M707" t="str">
        <f t="shared" ref="M707:M770" si="11">IF(L707&gt;54, "Old", IF(L707&gt;=31, "Middle Age", IF(L707&lt;31, "Adolescent", "Invalid")))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45</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45</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45</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45</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45</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45</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45</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45</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45</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45</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45</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45</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45</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45</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45</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45</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45</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25">
      <c r="A900">
        <v>18066</v>
      </c>
      <c r="B900" t="s">
        <v>37</v>
      </c>
      <c r="C900" t="s">
        <v>38</v>
      </c>
      <c r="D900" s="1">
        <v>70000</v>
      </c>
      <c r="E900">
        <v>5</v>
      </c>
      <c r="F900" t="s">
        <v>13</v>
      </c>
      <c r="G900" t="s">
        <v>28</v>
      </c>
      <c r="H900" t="s">
        <v>15</v>
      </c>
      <c r="I900">
        <v>3</v>
      </c>
      <c r="J900" t="s">
        <v>45</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45</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45</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45</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45</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45</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45</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45</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25">
      <c r="A964">
        <v>16813</v>
      </c>
      <c r="B964" t="s">
        <v>36</v>
      </c>
      <c r="C964" t="s">
        <v>38</v>
      </c>
      <c r="D964" s="1">
        <v>60000</v>
      </c>
      <c r="E964">
        <v>2</v>
      </c>
      <c r="F964" t="s">
        <v>19</v>
      </c>
      <c r="G964" t="s">
        <v>21</v>
      </c>
      <c r="H964" t="s">
        <v>15</v>
      </c>
      <c r="I964">
        <v>2</v>
      </c>
      <c r="J964" t="s">
        <v>45</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45</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45</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45</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45</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45</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45</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45</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45</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AF42-211B-44F5-BF8A-07732F0846F3}">
  <dimension ref="A3:D73"/>
  <sheetViews>
    <sheetView topLeftCell="A49" workbookViewId="0">
      <selection activeCell="B74" sqref="B7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7.85546875" bestFit="1" customWidth="1"/>
    <col min="6" max="6" width="16" bestFit="1" customWidth="1"/>
  </cols>
  <sheetData>
    <row r="3" spans="1:4" x14ac:dyDescent="0.25">
      <c r="A3" s="3" t="s">
        <v>43</v>
      </c>
      <c r="B3" s="3" t="s">
        <v>44</v>
      </c>
    </row>
    <row r="4" spans="1:4" x14ac:dyDescent="0.25">
      <c r="A4" s="3" t="s">
        <v>41</v>
      </c>
      <c r="B4" t="s">
        <v>18</v>
      </c>
      <c r="C4" t="s">
        <v>15</v>
      </c>
      <c r="D4" t="s">
        <v>42</v>
      </c>
    </row>
    <row r="5" spans="1:4" x14ac:dyDescent="0.25">
      <c r="A5" s="4" t="s">
        <v>39</v>
      </c>
      <c r="B5" s="5">
        <v>66666.666666666672</v>
      </c>
      <c r="C5" s="5">
        <v>35000</v>
      </c>
      <c r="D5" s="5">
        <v>48571.428571428572</v>
      </c>
    </row>
    <row r="6" spans="1:4" x14ac:dyDescent="0.25">
      <c r="A6" s="4" t="s">
        <v>38</v>
      </c>
      <c r="B6" s="5">
        <v>22500</v>
      </c>
      <c r="C6" s="5">
        <v>33333.333333333336</v>
      </c>
      <c r="D6" s="5">
        <v>30000</v>
      </c>
    </row>
    <row r="7" spans="1:4" x14ac:dyDescent="0.25">
      <c r="A7" s="4" t="s">
        <v>42</v>
      </c>
      <c r="B7" s="1">
        <v>41428.571428571428</v>
      </c>
      <c r="C7" s="1">
        <v>33846.153846153844</v>
      </c>
      <c r="D7" s="1">
        <v>36500</v>
      </c>
    </row>
    <row r="20" spans="1:4" x14ac:dyDescent="0.25">
      <c r="A20" s="3" t="s">
        <v>49</v>
      </c>
      <c r="B20" s="3" t="s">
        <v>44</v>
      </c>
    </row>
    <row r="21" spans="1:4" x14ac:dyDescent="0.25">
      <c r="A21" s="3" t="s">
        <v>41</v>
      </c>
      <c r="B21" t="s">
        <v>18</v>
      </c>
      <c r="C21" t="s">
        <v>15</v>
      </c>
      <c r="D21" t="s">
        <v>42</v>
      </c>
    </row>
    <row r="22" spans="1:4" x14ac:dyDescent="0.25">
      <c r="A22" s="4" t="s">
        <v>16</v>
      </c>
      <c r="B22">
        <v>3</v>
      </c>
      <c r="C22">
        <v>11</v>
      </c>
      <c r="D22">
        <v>14</v>
      </c>
    </row>
    <row r="23" spans="1:4" x14ac:dyDescent="0.25">
      <c r="A23" s="4" t="s">
        <v>26</v>
      </c>
      <c r="B23">
        <v>1</v>
      </c>
      <c r="C23">
        <v>2</v>
      </c>
      <c r="D23">
        <v>3</v>
      </c>
    </row>
    <row r="24" spans="1:4" x14ac:dyDescent="0.25">
      <c r="A24" s="4" t="s">
        <v>22</v>
      </c>
      <c r="B24">
        <v>1</v>
      </c>
      <c r="D24">
        <v>1</v>
      </c>
    </row>
    <row r="25" spans="1:4" x14ac:dyDescent="0.25">
      <c r="A25" s="4" t="s">
        <v>45</v>
      </c>
      <c r="B25">
        <v>2</v>
      </c>
      <c r="D25">
        <v>2</v>
      </c>
    </row>
    <row r="26" spans="1:4" x14ac:dyDescent="0.25">
      <c r="A26" s="4" t="s">
        <v>42</v>
      </c>
      <c r="B26">
        <v>7</v>
      </c>
      <c r="C26">
        <v>13</v>
      </c>
      <c r="D26">
        <v>20</v>
      </c>
    </row>
    <row r="42" spans="1:4" x14ac:dyDescent="0.25">
      <c r="A42" s="3" t="s">
        <v>50</v>
      </c>
      <c r="B42" s="3" t="s">
        <v>44</v>
      </c>
    </row>
    <row r="43" spans="1:4" x14ac:dyDescent="0.25">
      <c r="A43" s="3" t="s">
        <v>41</v>
      </c>
      <c r="B43" t="s">
        <v>18</v>
      </c>
      <c r="C43" t="s">
        <v>15</v>
      </c>
      <c r="D43" t="s">
        <v>42</v>
      </c>
    </row>
    <row r="44" spans="1:4" x14ac:dyDescent="0.25">
      <c r="A44" s="4" t="s">
        <v>46</v>
      </c>
      <c r="B44">
        <v>4</v>
      </c>
      <c r="C44">
        <v>12</v>
      </c>
      <c r="D44">
        <v>16</v>
      </c>
    </row>
    <row r="45" spans="1:4" x14ac:dyDescent="0.25">
      <c r="A45" s="4" t="s">
        <v>47</v>
      </c>
      <c r="B45">
        <v>3</v>
      </c>
      <c r="C45">
        <v>1</v>
      </c>
      <c r="D45">
        <v>4</v>
      </c>
    </row>
    <row r="46" spans="1:4" x14ac:dyDescent="0.25">
      <c r="A46" s="4" t="s">
        <v>42</v>
      </c>
      <c r="B46">
        <v>7</v>
      </c>
      <c r="C46">
        <v>13</v>
      </c>
      <c r="D46">
        <v>20</v>
      </c>
    </row>
    <row r="58" spans="1:4" x14ac:dyDescent="0.25">
      <c r="A58" s="3" t="s">
        <v>51</v>
      </c>
      <c r="B58" s="3" t="s">
        <v>44</v>
      </c>
    </row>
    <row r="59" spans="1:4" x14ac:dyDescent="0.25">
      <c r="A59" s="3" t="s">
        <v>41</v>
      </c>
      <c r="B59" t="s">
        <v>18</v>
      </c>
      <c r="C59" t="s">
        <v>15</v>
      </c>
      <c r="D59" t="s">
        <v>42</v>
      </c>
    </row>
    <row r="60" spans="1:4" x14ac:dyDescent="0.25">
      <c r="A60" s="4">
        <v>36</v>
      </c>
      <c r="C60">
        <v>1</v>
      </c>
      <c r="D60">
        <v>1</v>
      </c>
    </row>
    <row r="61" spans="1:4" x14ac:dyDescent="0.25">
      <c r="A61" s="4">
        <v>37</v>
      </c>
      <c r="C61">
        <v>1</v>
      </c>
      <c r="D61">
        <v>1</v>
      </c>
    </row>
    <row r="62" spans="1:4" x14ac:dyDescent="0.25">
      <c r="A62" s="4">
        <v>38</v>
      </c>
      <c r="C62">
        <v>3</v>
      </c>
      <c r="D62">
        <v>3</v>
      </c>
    </row>
    <row r="63" spans="1:4" x14ac:dyDescent="0.25">
      <c r="A63" s="4">
        <v>39</v>
      </c>
      <c r="B63">
        <v>1</v>
      </c>
      <c r="C63">
        <v>4</v>
      </c>
      <c r="D63">
        <v>5</v>
      </c>
    </row>
    <row r="64" spans="1:4" x14ac:dyDescent="0.25">
      <c r="A64" s="4">
        <v>40</v>
      </c>
      <c r="C64">
        <v>1</v>
      </c>
      <c r="D64">
        <v>1</v>
      </c>
    </row>
    <row r="65" spans="1:4" x14ac:dyDescent="0.25">
      <c r="A65" s="4">
        <v>46</v>
      </c>
      <c r="C65">
        <v>1</v>
      </c>
      <c r="D65">
        <v>1</v>
      </c>
    </row>
    <row r="66" spans="1:4" x14ac:dyDescent="0.25">
      <c r="A66" s="4">
        <v>47</v>
      </c>
      <c r="C66">
        <v>1</v>
      </c>
      <c r="D66">
        <v>1</v>
      </c>
    </row>
    <row r="67" spans="1:4" x14ac:dyDescent="0.25">
      <c r="A67" s="4">
        <v>48</v>
      </c>
      <c r="B67">
        <v>1</v>
      </c>
      <c r="D67">
        <v>1</v>
      </c>
    </row>
    <row r="68" spans="1:4" x14ac:dyDescent="0.25">
      <c r="A68" s="4">
        <v>51</v>
      </c>
      <c r="B68">
        <v>1</v>
      </c>
      <c r="D68">
        <v>1</v>
      </c>
    </row>
    <row r="69" spans="1:4" x14ac:dyDescent="0.25">
      <c r="A69" s="4">
        <v>53</v>
      </c>
      <c r="B69">
        <v>1</v>
      </c>
      <c r="D69">
        <v>1</v>
      </c>
    </row>
    <row r="70" spans="1:4" x14ac:dyDescent="0.25">
      <c r="A70" s="4">
        <v>62</v>
      </c>
      <c r="B70">
        <v>1</v>
      </c>
      <c r="C70">
        <v>1</v>
      </c>
      <c r="D70">
        <v>2</v>
      </c>
    </row>
    <row r="71" spans="1:4" x14ac:dyDescent="0.25">
      <c r="A71" s="4">
        <v>63</v>
      </c>
      <c r="B71">
        <v>1</v>
      </c>
      <c r="D71">
        <v>1</v>
      </c>
    </row>
    <row r="72" spans="1:4" x14ac:dyDescent="0.25">
      <c r="A72" s="4">
        <v>68</v>
      </c>
      <c r="B72">
        <v>1</v>
      </c>
      <c r="D72">
        <v>1</v>
      </c>
    </row>
    <row r="73" spans="1:4" x14ac:dyDescent="0.25">
      <c r="A73" s="4" t="s">
        <v>42</v>
      </c>
      <c r="B73">
        <v>7</v>
      </c>
      <c r="C73">
        <v>13</v>
      </c>
      <c r="D73">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FDE5-329C-403E-96BE-29BEA824D3DE}">
  <dimension ref="A1:O6"/>
  <sheetViews>
    <sheetView showGridLines="0" tabSelected="1" workbookViewId="0">
      <selection activeCell="R12" sqref="R12"/>
    </sheetView>
  </sheetViews>
  <sheetFormatPr defaultRowHeight="15" x14ac:dyDescent="0.25"/>
  <sheetData>
    <row r="1" spans="1:15" x14ac:dyDescent="0.25">
      <c r="A1" s="6" t="s">
        <v>48</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Gurveet Sangha</cp:lastModifiedBy>
  <dcterms:created xsi:type="dcterms:W3CDTF">2022-03-18T02:50:57Z</dcterms:created>
  <dcterms:modified xsi:type="dcterms:W3CDTF">2026-06-13T23:46:22Z</dcterms:modified>
</cp:coreProperties>
</file>